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400e53c383ccc98/Documents/ExpenseWeb/"/>
    </mc:Choice>
  </mc:AlternateContent>
  <xr:revisionPtr revIDLastSave="124" documentId="8_{91D0A7B5-C430-4DD6-84C9-F8C1114AA991}" xr6:coauthVersionLast="47" xr6:coauthVersionMax="47" xr10:uidLastSave="{C059A962-08B7-4DCB-959D-C7DF7F932138}"/>
  <bookViews>
    <workbookView xWindow="-110" yWindow="-110" windowWidth="19420" windowHeight="11500" activeTab="1" xr2:uid="{00000000-000D-0000-FFFF-FFFF00000000}"/>
  </bookViews>
  <sheets>
    <sheet name="Expenses" sheetId="1" r:id="rId1"/>
    <sheet name="Tot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" l="1"/>
  <c r="M6" i="2"/>
  <c r="M5" i="2"/>
  <c r="M4" i="2"/>
  <c r="M3" i="2"/>
  <c r="M19" i="2"/>
  <c r="M18" i="2"/>
  <c r="M17" i="2"/>
  <c r="M16" i="2"/>
  <c r="M15" i="2"/>
  <c r="B3" i="2"/>
  <c r="B2" i="2"/>
  <c r="B4" i="2" l="1"/>
  <c r="F2" i="2"/>
  <c r="F4" i="2" s="1"/>
  <c r="F3" i="2" l="1"/>
  <c r="F5" i="2" s="1"/>
  <c r="F6" i="2" s="1"/>
</calcChain>
</file>

<file path=xl/sharedStrings.xml><?xml version="1.0" encoding="utf-8"?>
<sst xmlns="http://schemas.openxmlformats.org/spreadsheetml/2006/main" count="36" uniqueCount="29">
  <si>
    <t>Date</t>
  </si>
  <si>
    <t>Type</t>
  </si>
  <si>
    <t>Description</t>
  </si>
  <si>
    <t>Amount</t>
  </si>
  <si>
    <t>Note</t>
  </si>
  <si>
    <t>Totals</t>
  </si>
  <si>
    <t>WannaDos (consectutively subtracting as list develops)</t>
  </si>
  <si>
    <t>Deposits</t>
  </si>
  <si>
    <t>Tithing</t>
  </si>
  <si>
    <t>5% Dep</t>
  </si>
  <si>
    <t>Expenses</t>
  </si>
  <si>
    <t>EM Fund</t>
  </si>
  <si>
    <t>5% D-E</t>
  </si>
  <si>
    <t>Dep-Exp</t>
  </si>
  <si>
    <t>Save</t>
  </si>
  <si>
    <t>80% D-E</t>
  </si>
  <si>
    <t>Gifts</t>
  </si>
  <si>
    <t>Spend</t>
  </si>
  <si>
    <t>^^^^^^^^^^^^^^^</t>
  </si>
  <si>
    <t>Feel free to change all of the above values, and the equations in F, respectively</t>
  </si>
  <si>
    <t>Welcome! This is your Expense Tracker. View Total Expenses, and Deposits below in the sheet</t>
  </si>
  <si>
    <t>titled "Totals", where you can also budget your finances. Here are your entered forms:</t>
  </si>
  <si>
    <t>Summary:</t>
  </si>
  <si>
    <t>Food/Drink</t>
  </si>
  <si>
    <t>Entertainment</t>
  </si>
  <si>
    <t>Health</t>
  </si>
  <si>
    <t>Shopping</t>
  </si>
  <si>
    <t>Other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</si>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</sst>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63377788628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44" fontId="0" fillId="2" borderId="0" xfId="1" applyFont="1" applyFill="1"/>
    <xf numFmtId="44" fontId="0" fillId="2" borderId="0" xfId="0" applyNumberFormat="1" applyFill="1"/>
    <xf numFmtId="0" fontId="0" fillId="3" borderId="0" xfId="0" applyFill="1"/>
    <xf numFmtId="44" fontId="0" fillId="3" borderId="0" xfId="1" applyFont="1" applyFill="1"/>
    <xf numFmtId="9" fontId="0" fillId="3" borderId="0" xfId="0" applyNumberFormat="1" applyFill="1"/>
    <xf numFmtId="44" fontId="0" fillId="3" borderId="0" xfId="0" applyNumberFormat="1" applyFill="1"/>
    <xf numFmtId="0" fontId="0" fillId="4" borderId="0" xfId="0" applyFill="1"/>
    <xf numFmtId="44" fontId="1" fillId="0" borderId="0" xfId="1"/>
    <xf numFmtId="0" fontId="2" fillId="0" borderId="0" xfId="0" applyFont="1"/>
    <xf numFmtId="44" fontId="0" fillId="0" borderId="0" xfId="0" applyNumberFormat="1"/>
    <xf numFmtId="44" fontId="1" fillId="3" borderId="0" xfId="1" applyFill="1"/>
    <xf numFmtId="9" fontId="1" fillId="0" borderId="0" xfId="2"/>
  </cellXfs>
  <cellStyles count="3">
    <cellStyle name="Currency" xfId="1" builtinId="4"/>
    <cellStyle name="Normal" xfId="0" builtinId="0"/>
    <cellStyle name="Percent" xfId="2" builtinId="5"/>
  </cellStyles>
  <dxfs count="4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85627734033246"/>
          <c:y val="0.17171296296296298"/>
          <c:w val="0.40287467191601051"/>
          <c:h val="0.6714577865266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55-43D8-B429-B713B072B5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55-43D8-B429-B713B072B5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55-43D8-B429-B713B072B5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55-43D8-B429-B713B072B5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55-43D8-B429-B713B072B561}"/>
              </c:ext>
            </c:extLst>
          </c:dPt>
          <c:cat>
            <c:strRef>
              <c:f>Totals!$L$15:$L$19</c:f>
              <c:strCache>
                <c:ptCount val="5"/>
                <c:pt idx="0">
                  <c:v>Food/Drink</c:v>
                </c:pt>
                <c:pt idx="1">
                  <c:v>Entertainment</c:v>
                </c:pt>
                <c:pt idx="2">
                  <c:v>Health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Totals!$M$15:$M$19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3-4100-8331-62BE06F65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Totals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155105290501921"/>
          <c:y val="0.23813804173354738"/>
          <c:w val="0.29060799276697097"/>
          <c:h val="0.544365212775369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Totals!$L$3:$L$7</c:f>
              <c:strCache>
                <c:ptCount val="5"/>
                <c:pt idx="0">
                  <c:v>Food/Drink</c:v>
                </c:pt>
                <c:pt idx="1">
                  <c:v>Entertainment</c:v>
                </c:pt>
                <c:pt idx="2">
                  <c:v>Health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Totals!$M$3:$M$7</c:f>
              <c:numCache>
                <c:formatCode>_("$"* #,##0.00_);_("$"* \(#,##0.00\);_("$"*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4-473D-BCB1-D25DD092B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603249</xdr:colOff>
      <xdr:row>12</xdr:row>
      <xdr:rowOff>19049</xdr:rowOff>
    </xdr:from>
    <xdr:to>
      <xdr:col>17</xdr:col>
      <xdr:colOff>41274</xdr:colOff>
      <xdr:row>23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BAAE4B-E68E-C413-10A8-AFF553069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584199</xdr:colOff>
      <xdr:row>0</xdr:row>
      <xdr:rowOff>161925</xdr:rowOff>
    </xdr:from>
    <xdr:to>
      <xdr:col>17</xdr:col>
      <xdr:colOff>22224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327ED-7724-30D3-E64B-BDE8DD1EE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07B88-2E87-4228-8CAF-5C843E1FFAD7}" name="Table1" displayName="Table1" ref="A1:E1000" totalsRowShown="0">
  <autoFilter ref="A1:E1000" xr:uid="{E5407B88-2E87-4228-8CAF-5C843E1FFAD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A1B63AB-E12D-4520-B55B-E6BC767C0753}" name="Date"/>
    <tableColumn id="2" xr3:uid="{A751D0CD-A4FD-4B6B-91DE-ABFB02056B04}" name="Type"/>
    <tableColumn id="3" xr3:uid="{0CBBC330-0C92-452C-AF84-6715FC3370BB}" name="Description"/>
    <tableColumn id="4" xr3:uid="{CF06E6FE-243F-496B-A04C-62293A086D67}" name="Amount" dataCellStyle="Currency"/>
    <tableColumn id="5" xr3:uid="{36964917-DCC3-4C57-BEA4-6EEE8D3557A9}" name="No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opLeftCell="A18" workbookViewId="0">
      <selection activeCell="G25" sqref="G25:H30"/>
    </sheetView>
  </sheetViews>
  <sheetFormatPr defaultRowHeight="14.5" x14ac:dyDescent="0.35"/>
  <cols>
    <col min="1" max="1" width="13.08984375" customWidth="1"/>
    <col min="2" max="2" width="10.54296875" customWidth="1"/>
    <col min="3" max="3" width="21.26953125" customWidth="1"/>
    <col min="4" max="4" width="12.7265625" style="9" customWidth="1"/>
    <col min="5" max="5" width="22" customWidth="1"/>
    <col min="6" max="6" width="10.26953125" customWidth="1"/>
    <col min="7" max="7" width="13.1796875" customWidth="1"/>
    <col min="8" max="14" width="10.26953125" customWidth="1"/>
    <col min="15" max="104" width="11.26953125" customWidth="1"/>
    <col min="105" max="1004" width="12.26953125" customWidth="1"/>
    <col min="1005" max="10004" width="13.26953125" customWidth="1"/>
    <col min="10005" max="16384" width="14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s="10"/>
    </row>
    <row r="2" spans="1:10" x14ac:dyDescent="0.35">
      <c r="A2" s="10" t="s">
        <v>20</v>
      </c>
      <c r="D2"/>
      <c r="G2" s="10"/>
      <c r="J2" s="9"/>
    </row>
    <row r="3" spans="1:10" x14ac:dyDescent="0.35">
      <c r="A3" s="10" t="s">
        <v>21</v>
      </c>
      <c r="D3"/>
      <c r="G3" s="10"/>
      <c r="J3" s="9"/>
    </row>
  </sheetData>
  <conditionalFormatting sqref="A2:A3 G2:G3 A7:A1048576">
    <cfRule type="cellIs" dxfId="3" priority="1" operator="between">
      <formula>45992</formula>
      <formula>46022</formula>
    </cfRule>
    <cfRule type="cellIs" dxfId="2" priority="2" operator="between">
      <formula>45931</formula>
      <formula>45961</formula>
    </cfRule>
    <cfRule type="cellIs" dxfId="1" priority="3" operator="between">
      <formula>45870</formula>
      <formula>45900</formula>
    </cfRule>
    <cfRule type="cellIs" dxfId="0" priority="4" operator="between">
      <formula>45809</formula>
      <formula>"06/31/2025"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abSelected="1" workbookViewId="0">
      <selection activeCell="J16" sqref="J16"/>
    </sheetView>
  </sheetViews>
  <sheetFormatPr defaultRowHeight="14.5" x14ac:dyDescent="0.35"/>
  <cols>
    <col min="2" max="2" width="10.08984375" bestFit="1" customWidth="1"/>
    <col min="6" max="6" width="10.08984375" bestFit="1" customWidth="1"/>
  </cols>
  <sheetData>
    <row r="1" spans="1:13" x14ac:dyDescent="0.35">
      <c r="A1" s="8" t="s">
        <v>5</v>
      </c>
      <c r="B1" s="8"/>
      <c r="C1" s="8"/>
      <c r="D1" s="8" t="s">
        <v>6</v>
      </c>
      <c r="E1" s="8"/>
      <c r="F1" s="8"/>
      <c r="G1" s="8"/>
      <c r="H1" s="8"/>
      <c r="I1" s="8"/>
    </row>
    <row r="2" spans="1:13" x14ac:dyDescent="0.35">
      <c r="A2" s="4" t="s">
        <v>7</v>
      </c>
      <c r="B2" s="12">
        <f>SUMIFS(Expenses!D2:D996,Expenses!B2:B996,"Deposit")</f>
        <v>0</v>
      </c>
      <c r="C2" s="4"/>
      <c r="D2" s="4" t="s">
        <v>8</v>
      </c>
      <c r="E2" s="6" t="s">
        <v>9</v>
      </c>
      <c r="F2" s="7">
        <f>B2*0.05</f>
        <v>0</v>
      </c>
      <c r="G2" s="4"/>
      <c r="H2" s="4"/>
      <c r="I2" s="4"/>
      <c r="L2" t="s">
        <v>28</v>
      </c>
    </row>
    <row r="3" spans="1:13" x14ac:dyDescent="0.35">
      <c r="A3" s="1" t="s">
        <v>10</v>
      </c>
      <c r="B3" s="2">
        <f>SUM(
  SUMIFS(Expenses!D2:D996,Expenses!B2:B996, "Food/Drink"),
  SUMIFS(Expenses!D2:D996,Expenses!B2:B996, "Entertainment"), SUMIFS(Expenses!D2:D996, Expenses!B2:B996, "Shopping"),
  SUMIFS(Expenses!D2:D996,Expenses!B2:B996, "Utilities"),
  SUMIFS(Expenses!D2:D996,Expenses!B2:B996, "Other")
)</f>
        <v>0</v>
      </c>
      <c r="C3" s="1"/>
      <c r="D3" s="1" t="s">
        <v>11</v>
      </c>
      <c r="E3" s="1" t="s">
        <v>12</v>
      </c>
      <c r="F3" s="3">
        <f>(B4-F2)*0.05</f>
        <v>0</v>
      </c>
      <c r="G3" s="1"/>
      <c r="H3" s="1"/>
      <c r="I3" s="1"/>
      <c r="L3" t="s">
        <v>23</v>
      </c>
      <c r="M3" s="9">
        <f>SUMIFS(Expenses!D4:D1000, Expenses!B4:B1000, "Food/Drink")</f>
        <v>0</v>
      </c>
    </row>
    <row r="4" spans="1:13" x14ac:dyDescent="0.35">
      <c r="A4" s="4" t="s">
        <v>13</v>
      </c>
      <c r="B4" s="5">
        <f>B2-B3</f>
        <v>0</v>
      </c>
      <c r="C4" s="4"/>
      <c r="D4" s="4" t="s">
        <v>14</v>
      </c>
      <c r="E4" s="4" t="s">
        <v>15</v>
      </c>
      <c r="F4" s="12">
        <f>(F2/0.05)*0.8</f>
        <v>0</v>
      </c>
      <c r="G4" s="4"/>
      <c r="H4" s="4"/>
      <c r="I4" s="4"/>
      <c r="L4" t="s">
        <v>24</v>
      </c>
      <c r="M4" s="9">
        <f>SUMIFS(Expenses!D4:D1000, Expenses!B4:B1000, "Entertainment")</f>
        <v>0</v>
      </c>
    </row>
    <row r="5" spans="1:13" x14ac:dyDescent="0.35">
      <c r="A5" s="1"/>
      <c r="B5" s="1"/>
      <c r="C5" s="1"/>
      <c r="D5" t="s">
        <v>16</v>
      </c>
      <c r="E5" t="s">
        <v>12</v>
      </c>
      <c r="F5" s="11">
        <f>(B4-F2-F3)*0.05</f>
        <v>0</v>
      </c>
      <c r="G5" s="1"/>
      <c r="H5" s="1"/>
      <c r="I5" s="1"/>
      <c r="L5" t="s">
        <v>25</v>
      </c>
      <c r="M5" s="9">
        <f>SUMIFS(Expenses!D4:D1000, Expenses!B4:B1000, "Health")</f>
        <v>0</v>
      </c>
    </row>
    <row r="6" spans="1:13" x14ac:dyDescent="0.35">
      <c r="A6" s="4"/>
      <c r="B6" s="4"/>
      <c r="C6" s="4"/>
      <c r="D6" s="4" t="s">
        <v>17</v>
      </c>
      <c r="E6" s="4" t="s">
        <v>12</v>
      </c>
      <c r="F6" s="7">
        <f>(B4-F2-F3-F5)*0.05</f>
        <v>0</v>
      </c>
      <c r="G6" s="4"/>
      <c r="H6" s="4"/>
      <c r="I6" s="4"/>
      <c r="L6" t="s">
        <v>26</v>
      </c>
      <c r="M6" s="9">
        <f>SUMIFS(Expenses!D4:D1000, Expenses!B4:B1000, "Shopping")</f>
        <v>0</v>
      </c>
    </row>
    <row r="7" spans="1:13" x14ac:dyDescent="0.35">
      <c r="L7" t="s">
        <v>27</v>
      </c>
      <c r="M7" s="9">
        <f>SUMIFS(Expenses!D4:D1000, Expenses!B4:B1000, "Other")</f>
        <v>0</v>
      </c>
    </row>
    <row r="9" spans="1:13" x14ac:dyDescent="0.35">
      <c r="D9" s="10" t="s">
        <v>18</v>
      </c>
    </row>
    <row r="10" spans="1:13" x14ac:dyDescent="0.35">
      <c r="D10" t="s">
        <v>19</v>
      </c>
    </row>
    <row r="14" spans="1:13" x14ac:dyDescent="0.35">
      <c r="L14" t="s">
        <v>22</v>
      </c>
    </row>
    <row r="15" spans="1:13" x14ac:dyDescent="0.35">
      <c r="L15" t="s">
        <v>23</v>
      </c>
      <c r="M15" s="13">
        <f>SUMIFS(Expenses!D4:D1000, Expenses!B4:B1000, "Food/Drink")/100</f>
        <v>0</v>
      </c>
    </row>
    <row r="16" spans="1:13" x14ac:dyDescent="0.35">
      <c r="L16" t="s">
        <v>24</v>
      </c>
      <c r="M16" s="13">
        <f>SUMIFS(Expenses!D4:D1000, Expenses!B4:B1000, "Entertainment")/100</f>
        <v>0</v>
      </c>
    </row>
    <row r="17" spans="12:13" x14ac:dyDescent="0.35">
      <c r="L17" t="s">
        <v>25</v>
      </c>
      <c r="M17" s="13">
        <f>SUMIFS(Expenses!D4:D1000, Expenses!B4:B1000, "Health")/100</f>
        <v>0</v>
      </c>
    </row>
    <row r="18" spans="12:13" x14ac:dyDescent="0.35">
      <c r="L18" t="s">
        <v>26</v>
      </c>
      <c r="M18" s="13">
        <f>SUMIFS(Expenses!D4:D1000, Expenses!B4:B1000, "Shopping")/100</f>
        <v>0</v>
      </c>
    </row>
    <row r="19" spans="12:13" x14ac:dyDescent="0.35">
      <c r="L19" t="s">
        <v>27</v>
      </c>
      <c r="M19" s="13">
        <f>SUMIFS(Expenses!D4:D1000, Expenses!B4:B1000, "Other")/100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Michaela Cook</cp:lastModifiedBy>
  <dcterms:created xsi:type="dcterms:W3CDTF">2025-06-25T22:48:20Z</dcterms:created>
  <dcterms:modified xsi:type="dcterms:W3CDTF">2025-08-05T00:46:43Z</dcterms:modified>
</cp:coreProperties>
</file>
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1" autoFilterDateGrouping="1"/>
  </bookViews>
  <sheets>
    <sheet name="Expenses" sheetId="1" state="visible" r:id="rId1"/>
    <sheet name="Total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_(&quot;$&quot;* #,##0.00_);_(&quot;$&quot;* \(#,##0.00\);_(&quot;$&quot;* &quot;-&quot;??_);_(@_)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3" tint="0.5999633777886288"/>
        <bgColor indexed="64"/>
      </patternFill>
    </fill>
  </fills>
  <borders count="1">
    <border>
      <left/>
      <right/>
      <top/>
      <bottom/>
      <diagonal/>
    </border>
  </borders>
  <cellStyleXfs count="3">
    <xf numFmtId="0" fontId="1" fillId="0" borderId="0"/>
    <xf numFmtId="44" fontId="1" fillId="0" borderId="0"/>
    <xf numFmtId="9" fontId="1" fillId="0" borderId="0"/>
  </cellStyleXfs>
  <cellXfs count="21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164" fontId="0" fillId="2" borderId="0" pivotButton="0" quotePrefix="0" xfId="0"/>
    <xf numFmtId="0" fontId="0" fillId="3" borderId="0" pivotButton="0" quotePrefix="0" xfId="0"/>
    <xf numFmtId="164" fontId="0" fillId="3" borderId="0" pivotButton="0" quotePrefix="0" xfId="1"/>
    <xf numFmtId="9" fontId="0" fillId="3" borderId="0" pivotButton="0" quotePrefix="0" xfId="0"/>
    <xf numFmtId="164" fontId="0" fillId="3" borderId="0" pivotButton="0" quotePrefix="0" xfId="0"/>
    <xf numFmtId="0" fontId="0" fillId="4" borderId="0" pivotButton="0" quotePrefix="0" xfId="0"/>
    <xf numFmtId="164" fontId="1" fillId="0" borderId="0" pivotButton="0" quotePrefix="0" xfId="1"/>
    <xf numFmtId="0" fontId="2" fillId="0" borderId="0" pivotButton="0" quotePrefix="0" xfId="0"/>
    <xf numFmtId="164" fontId="0" fillId="0" borderId="0" pivotButton="0" quotePrefix="0" xfId="0"/>
    <xf numFmtId="164" fontId="1" fillId="3" borderId="0" pivotButton="0" quotePrefix="0" xfId="1"/>
    <xf numFmtId="9" fontId="1" fillId="0" borderId="0" pivotButton="0" quotePrefix="0" xfId="2"/>
    <xf numFmtId="164" fontId="1" fillId="0" borderId="0" pivotButton="0" quotePrefix="0" xfId="1"/>
    <xf numFmtId="164" fontId="1" fillId="3" borderId="0" pivotButton="0" quotePrefix="0" xfId="1"/>
    <xf numFmtId="164" fontId="0" fillId="3" borderId="0" pivotButton="0" quotePrefix="0" xfId="0"/>
    <xf numFmtId="164" fontId="0" fillId="2" borderId="0" pivotButton="0" quotePrefix="0" xfId="1"/>
    <xf numFmtId="164" fontId="0" fillId="2" borderId="0" pivotButton="0" quotePrefix="0" xfId="0"/>
    <xf numFmtId="164" fontId="0" fillId="3" borderId="0" pivotButton="0" quotePrefix="0" xfId="1"/>
    <xf numFmtId="164" fontId="0" fillId="0" borderId="0" pivotButton="0" quotePrefix="0" xfId="0"/>
  </cellXfs>
  <cellStyles count="3">
    <cellStyle name="Normal" xfId="0" builtinId="0"/>
    <cellStyle name="Currency" xfId="1" builtinId="4"/>
    <cellStyle name="Percent" xfId="2" builtinId="5"/>
  </cellStyles>
  <dxfs count="4"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Totals (%)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2985627734033246"/>
          <y val="0.171712962962963"/>
          <w val="0.4028746719160105"/>
          <h val="0.6714577865266842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cat>
            <strRef>
              <f>Totals!$L$15:$L$19</f>
              <strCache>
                <ptCount val="5"/>
                <pt idx="0">
                  <v>Food/Drink</v>
                </pt>
                <pt idx="1">
                  <v>Entertainment</v>
                </pt>
                <pt idx="2">
                  <v>Health</v>
                </pt>
                <pt idx="3">
                  <v>Shopping</v>
                </pt>
                <pt idx="4">
                  <v>Other</v>
                </pt>
              </strCache>
            </strRef>
          </cat>
          <val>
            <numRef>
              <f>Totals!$M$15:$M$19</f>
              <numCache>
                <formatCode>0%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75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Totals ($)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3615510529050192"/>
          <y val="0.2381380417335474"/>
          <w val="0.290607992766971"/>
          <h val="0.5443652127753694"/>
        </manualLayout>
      </layout>
      <doughnutChart>
        <varyColors val="1"/>
        <ser>
          <idx val="0"/>
          <order val="0"/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cat>
            <strRef>
              <f>Totals!$L$3:$L$7</f>
              <strCache>
                <ptCount val="5"/>
                <pt idx="0">
                  <v>Food/Drink</v>
                </pt>
                <pt idx="1">
                  <v>Entertainment</v>
                </pt>
                <pt idx="2">
                  <v>Health</v>
                </pt>
                <pt idx="3">
                  <v>Shopping</v>
                </pt>
                <pt idx="4">
                  <v>Other</v>
                </pt>
              </strCache>
            </strRef>
          </cat>
          <val>
            <numRef>
              <f>Totals!$M$3:$M$7</f>
              <numCache>
                <formatCode>_("$"* #,##0.00_);_("$"* \(#,##0.00\);_("$"* "-"??_);_(@_)</formatCode>
                <ptCount val="5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75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603249</colOff>
      <row>12</row>
      <rowOff>19049</rowOff>
    </from>
    <to>
      <col>17</col>
      <colOff>41274</colOff>
      <row>23</row>
      <rowOff>28574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584199</colOff>
      <row>0</row>
      <rowOff>161925</rowOff>
    </from>
    <to>
      <col>17</col>
      <colOff>22224</colOff>
      <row>11</row>
      <rowOff>114300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able1" displayName="Table1" ref="A1:E1000" headerRowCount="1" totalsRowShown="0">
  <autoFilter ref="A1:E1000">
    <filterColumn colId="0" hiddenButton="1" showButton="1"/>
    <filterColumn colId="1" hiddenButton="1" showButton="1"/>
    <filterColumn colId="2" hiddenButton="1" showButton="1"/>
    <filterColumn colId="3" hiddenButton="1" showButton="1"/>
    <filterColumn colId="4" hiddenButton="1" showButton="1"/>
  </autoFilter>
  <tableColumns count="5">
    <tableColumn id="1" name="Date"/>
    <tableColumn id="2" name="Type"/>
    <tableColumn id="3" name="Description"/>
    <tableColumn id="4" name="Amount" dataCellStyle="Currency"/>
    <tableColumn id="5" name="Note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topLeftCell="A18" workbookViewId="0">
      <selection activeCell="G25" sqref="G25:H30"/>
    </sheetView>
  </sheetViews>
  <sheetFormatPr baseColWidth="8" defaultRowHeight="14.5"/>
  <cols>
    <col width="13.08984375" customWidth="1" min="1" max="1"/>
    <col width="10.54296875" customWidth="1" min="2" max="2"/>
    <col width="21.26953125" customWidth="1" min="3" max="3"/>
    <col width="12.7265625" customWidth="1" style="14" min="4" max="4"/>
    <col width="22" customWidth="1" min="5" max="5"/>
    <col width="10.26953125" customWidth="1" min="6" max="6"/>
    <col width="13.1796875" customWidth="1" min="7" max="7"/>
    <col width="10.26953125" customWidth="1" min="8" max="14"/>
    <col width="11.26953125" customWidth="1" min="15" max="104"/>
    <col width="12.26953125" customWidth="1" min="105" max="1004"/>
    <col width="13.26953125" customWidth="1" min="1005" max="10004"/>
    <col width="14.26953125" customWidth="1" min="10005" max="16384"/>
  </cols>
  <sheetData>
    <row r="1">
      <c r="A1" t="inlineStr">
        <is>
          <t>Date</t>
        </is>
      </c>
      <c r="B1" t="inlineStr">
        <is>
          <t>Type</t>
        </is>
      </c>
      <c r="C1" t="inlineStr">
        <is>
          <t>Description</t>
        </is>
      </c>
      <c r="D1" t="inlineStr">
        <is>
          <t>Amount</t>
        </is>
      </c>
      <c r="E1" t="inlineStr">
        <is>
          <t>Note</t>
        </is>
      </c>
      <c r="G1" s="10" t="n"/>
    </row>
    <row r="2">
      <c r="A2" s="10" t="inlineStr">
        <is>
          <t>Welcome! This is your Expense Tracker. View Total Expenses, and Deposits below in the sheet</t>
        </is>
      </c>
      <c r="G2" s="10" t="n"/>
      <c r="J2" s="14" t="n"/>
    </row>
    <row r="3">
      <c r="A3" s="10" t="inlineStr">
        <is>
          <t>titled "Totals", where you can also budget your finances. Here are your entered forms:</t>
        </is>
      </c>
      <c r="G3" s="10" t="n"/>
      <c r="J3" s="14" t="n"/>
    </row>
    <row r="5">
      <c r="A5" t="inlineStr">
        <is>
          <t>08/19/2025</t>
        </is>
      </c>
      <c r="B5" t="inlineStr">
        <is>
          <t>Food/Drink</t>
        </is>
      </c>
      <c r="C5" t="inlineStr">
        <is>
          <t>Rinnova</t>
        </is>
      </c>
      <c r="D5" t="n">
        <v>5.25</v>
      </c>
      <c r="E5" t="inlineStr"/>
    </row>
  </sheetData>
  <conditionalFormatting sqref="A2:A3 A7:A1048576 G2:G3">
    <cfRule type="cellIs" priority="1" operator="between" dxfId="0">
      <formula>45992</formula>
      <formula>46022</formula>
    </cfRule>
    <cfRule type="cellIs" priority="2" operator="between" dxfId="0">
      <formula>45931</formula>
      <formula>45961</formula>
    </cfRule>
    <cfRule type="cellIs" priority="3" operator="between" dxfId="0">
      <formula>45870</formula>
      <formula>45900</formula>
    </cfRule>
    <cfRule type="cellIs" priority="4" operator="between" dxfId="0">
      <formula>45809</formula>
      <formula>"06/31/2025"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"/>
  <sheetViews>
    <sheetView tabSelected="1" workbookViewId="0">
      <selection activeCell="J16" sqref="J16"/>
    </sheetView>
  </sheetViews>
  <sheetFormatPr baseColWidth="8" defaultRowHeight="14.5"/>
  <cols>
    <col width="10.08984375" bestFit="1" customWidth="1" min="2" max="2"/>
    <col width="10.08984375" bestFit="1" customWidth="1" min="6" max="6"/>
  </cols>
  <sheetData>
    <row r="1">
      <c r="A1" s="8" t="inlineStr">
        <is>
          <t>Totals</t>
        </is>
      </c>
      <c r="B1" s="8" t="n"/>
      <c r="C1" s="8" t="n"/>
      <c r="D1" s="8" t="inlineStr">
        <is>
          <t>WannaDos (consectutively subtracting as list develops)</t>
        </is>
      </c>
      <c r="E1" s="8" t="n"/>
      <c r="F1" s="8" t="n"/>
      <c r="G1" s="8" t="n"/>
      <c r="H1" s="8" t="n"/>
      <c r="I1" s="8" t="n"/>
    </row>
    <row r="2">
      <c r="A2" s="4" t="inlineStr">
        <is>
          <t>Deposits</t>
        </is>
      </c>
      <c r="B2" s="15">
        <f>SUMIFS(Expenses!D2:D996,Expenses!B2:B996,"Deposit")</f>
        <v/>
      </c>
      <c r="C2" s="4" t="n"/>
      <c r="D2" s="4" t="inlineStr">
        <is>
          <t>Tithing</t>
        </is>
      </c>
      <c r="E2" s="6" t="inlineStr">
        <is>
          <t>5% Dep</t>
        </is>
      </c>
      <c r="F2" s="16">
        <f>B2*0.05</f>
        <v/>
      </c>
      <c r="G2" s="4" t="n"/>
      <c r="H2" s="4" t="n"/>
      <c r="I2" s="4" t="n"/>
      <c r="L2" t="inlineStr">
        <is>
          <t>Summary</t>
        </is>
      </c>
    </row>
    <row r="3">
      <c r="A3" s="1" t="inlineStr">
        <is>
          <t>Expenses</t>
        </is>
      </c>
      <c r="B3" s="17">
        <f>SUM(
  SUMIFS(Expenses!D2:D996,Expenses!B2:B996, "Food/Drink"),
  SUMIFS(Expenses!D2:D996,Expenses!B2:B996, "Entertainment"), SUMIFS(Expenses!D2:D996, Expenses!B2:B996, "Shopping"),
  SUMIFS(Expenses!D2:D996,Expenses!B2:B996, "Utilities"),
  SUMIFS(Expenses!D2:D996,Expenses!B2:B996, "Other")
)</f>
        <v/>
      </c>
      <c r="C3" s="1" t="n"/>
      <c r="D3" s="1" t="inlineStr">
        <is>
          <t>EM Fund</t>
        </is>
      </c>
      <c r="E3" s="1" t="inlineStr">
        <is>
          <t>5% D-E</t>
        </is>
      </c>
      <c r="F3" s="18">
        <f>(B4-F2)*0.05</f>
        <v/>
      </c>
      <c r="G3" s="1" t="n"/>
      <c r="H3" s="1" t="n"/>
      <c r="I3" s="1" t="n"/>
      <c r="L3" t="inlineStr">
        <is>
          <t>Food/Drink</t>
        </is>
      </c>
      <c r="M3" s="14">
        <f>SUMIFS(Expenses!D4:D1000, Expenses!B4:B1000, "Food/Drink")</f>
        <v/>
      </c>
    </row>
    <row r="4">
      <c r="A4" s="4" t="inlineStr">
        <is>
          <t>Dep-Exp</t>
        </is>
      </c>
      <c r="B4" s="19">
        <f>B2-B3</f>
        <v/>
      </c>
      <c r="C4" s="4" t="n"/>
      <c r="D4" s="4" t="inlineStr">
        <is>
          <t>Save</t>
        </is>
      </c>
      <c r="E4" s="4" t="inlineStr">
        <is>
          <t>80% D-E</t>
        </is>
      </c>
      <c r="F4" s="15">
        <f>(F2/0.05)*0.8</f>
        <v/>
      </c>
      <c r="G4" s="4" t="n"/>
      <c r="H4" s="4" t="n"/>
      <c r="I4" s="4" t="n"/>
      <c r="L4" t="inlineStr">
        <is>
          <t>Entertainment</t>
        </is>
      </c>
      <c r="M4" s="14">
        <f>SUMIFS(Expenses!D4:D1000, Expenses!B4:B1000, "Entertainment")</f>
        <v/>
      </c>
    </row>
    <row r="5">
      <c r="A5" s="1" t="n"/>
      <c r="B5" s="1" t="n"/>
      <c r="C5" s="1" t="n"/>
      <c r="D5" t="inlineStr">
        <is>
          <t>Gifts</t>
        </is>
      </c>
      <c r="E5" t="inlineStr">
        <is>
          <t>5% D-E</t>
        </is>
      </c>
      <c r="F5" s="20">
        <f>(B4-F2-F3)*0.05</f>
        <v/>
      </c>
      <c r="G5" s="1" t="n"/>
      <c r="H5" s="1" t="n"/>
      <c r="I5" s="1" t="n"/>
      <c r="L5" t="inlineStr">
        <is>
          <t>Health</t>
        </is>
      </c>
      <c r="M5" s="14">
        <f>SUMIFS(Expenses!D4:D1000, Expenses!B4:B1000, "Health")</f>
        <v/>
      </c>
    </row>
    <row r="6">
      <c r="A6" s="4" t="n"/>
      <c r="B6" s="4" t="n"/>
      <c r="C6" s="4" t="n"/>
      <c r="D6" s="4" t="inlineStr">
        <is>
          <t>Spend</t>
        </is>
      </c>
      <c r="E6" s="4" t="inlineStr">
        <is>
          <t>5% D-E</t>
        </is>
      </c>
      <c r="F6" s="16">
        <f>(B4-F2-F3-F5)*0.05</f>
        <v/>
      </c>
      <c r="G6" s="4" t="n"/>
      <c r="H6" s="4" t="n"/>
      <c r="I6" s="4" t="n"/>
      <c r="L6" t="inlineStr">
        <is>
          <t>Shopping</t>
        </is>
      </c>
      <c r="M6" s="14">
        <f>SUMIFS(Expenses!D4:D1000, Expenses!B4:B1000, "Shopping")</f>
        <v/>
      </c>
    </row>
    <row r="7">
      <c r="L7" t="inlineStr">
        <is>
          <t>Other</t>
        </is>
      </c>
      <c r="M7" s="14">
        <f>SUMIFS(Expenses!D4:D1000, Expenses!B4:B1000, "Other")</f>
        <v/>
      </c>
    </row>
    <row r="9">
      <c r="D9" s="10" t="inlineStr">
        <is>
          <t>^^^^^^^^^^^^^^^</t>
        </is>
      </c>
    </row>
    <row r="10">
      <c r="D10" t="inlineStr">
        <is>
          <t>Feel free to change all of the above values, and the equations in F, respectively</t>
        </is>
      </c>
    </row>
    <row r="14">
      <c r="L14" t="inlineStr">
        <is>
          <t>Summary:</t>
        </is>
      </c>
    </row>
    <row r="15">
      <c r="L15" t="inlineStr">
        <is>
          <t>Food/Drink</t>
        </is>
      </c>
      <c r="M15" s="13">
        <f>SUMIFS(Expenses!D4:D1000, Expenses!B4:B1000, "Food/Drink")/100</f>
        <v/>
      </c>
    </row>
    <row r="16">
      <c r="L16" t="inlineStr">
        <is>
          <t>Entertainment</t>
        </is>
      </c>
      <c r="M16" s="13">
        <f>SUMIFS(Expenses!D4:D1000, Expenses!B4:B1000, "Entertainment")/100</f>
        <v/>
      </c>
    </row>
    <row r="17">
      <c r="L17" t="inlineStr">
        <is>
          <t>Health</t>
        </is>
      </c>
      <c r="M17" s="13">
        <f>SUMIFS(Expenses!D4:D1000, Expenses!B4:B1000, "Health")/100</f>
        <v/>
      </c>
    </row>
    <row r="18">
      <c r="L18" t="inlineStr">
        <is>
          <t>Shopping</t>
        </is>
      </c>
      <c r="M18" s="13">
        <f>SUMIFS(Expenses!D4:D1000, Expenses!B4:B1000, "Shopping")/100</f>
        <v/>
      </c>
    </row>
    <row r="19">
      <c r="L19" t="inlineStr">
        <is>
          <t>Other</t>
        </is>
      </c>
      <c r="M19" s="13">
        <f>SUMIFS(Expenses!D4:D1000, Expenses!B4:B1000, "Other")/100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2025-06-25T22:48:20Z</dcterms:created>
  <dcterms:modified xsi:type="dcterms:W3CDTF">2025-08-19T18:37:05Z</dcterms:modified>
  <cp:lastModifiedBy>Michaela Cook</cp:lastModifiedBy>
</cp:coreProperties>
</file>